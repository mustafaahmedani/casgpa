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1ecf59592326c80/Documents/Excel Stuff/"/>
    </mc:Choice>
  </mc:AlternateContent>
  <xr:revisionPtr revIDLastSave="65" documentId="14_{DBC72B48-859F-2942-A8AD-1CA2F52FB288}" xr6:coauthVersionLast="47" xr6:coauthVersionMax="47" xr10:uidLastSave="{71B0B404-DAD6-4740-876C-2D34023AAF39}"/>
  <bookViews>
    <workbookView xWindow="0" yWindow="500" windowWidth="28800" windowHeight="16280" activeTab="1" xr2:uid="{923C3778-657E-0645-A9ED-2873A5F14537}"/>
  </bookViews>
  <sheets>
    <sheet name="README BEFORE USE" sheetId="8" r:id="rId1"/>
    <sheet name="Input" sheetId="1" r:id="rId2"/>
    <sheet name="Pivot w Totals" sheetId="5" r:id="rId3"/>
    <sheet name="Final GPA" sheetId="3" r:id="rId4"/>
    <sheet name="GPA Scale" sheetId="2" r:id="rId5"/>
  </sheets>
  <calcPr calcId="191029"/>
  <pivotCaches>
    <pivotCache cacheId="2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2" i="1"/>
  <c r="F3" i="1"/>
  <c r="F4" i="1"/>
  <c r="F5" i="1"/>
  <c r="F6" i="1"/>
  <c r="F7" i="1"/>
  <c r="F10" i="1"/>
  <c r="F11" i="1"/>
  <c r="F12" i="1"/>
  <c r="F13" i="1"/>
  <c r="F14" i="1"/>
  <c r="F15" i="1"/>
  <c r="F16" i="1"/>
  <c r="F17" i="1"/>
  <c r="F18" i="1"/>
  <c r="F22" i="1"/>
  <c r="F23" i="1"/>
  <c r="F24" i="1"/>
  <c r="F25" i="1"/>
  <c r="F26" i="1"/>
  <c r="F27" i="1"/>
  <c r="F28" i="1"/>
  <c r="F29" i="1"/>
  <c r="F30" i="1"/>
  <c r="F31" i="1"/>
  <c r="F32" i="1"/>
  <c r="F33" i="1"/>
  <c r="G33" i="1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G41" i="1"/>
  <c r="G49" i="1"/>
  <c r="G57" i="1"/>
  <c r="G58" i="1"/>
  <c r="G21" i="1"/>
  <c r="G19" i="1"/>
  <c r="G20" i="1"/>
  <c r="D2" i="1"/>
  <c r="D3" i="1"/>
  <c r="G3" i="1" s="1"/>
  <c r="D4" i="1"/>
  <c r="D5" i="1"/>
  <c r="D6" i="1"/>
  <c r="D7" i="1"/>
  <c r="D8" i="1"/>
  <c r="D9" i="1"/>
  <c r="D10" i="1"/>
  <c r="D11" i="1"/>
  <c r="G11" i="1" s="1"/>
  <c r="D12" i="1"/>
  <c r="D13" i="1"/>
  <c r="D14" i="1"/>
  <c r="D15" i="1"/>
  <c r="D16" i="1"/>
  <c r="D17" i="1"/>
  <c r="D18" i="1"/>
  <c r="D22" i="1"/>
  <c r="D23" i="1"/>
  <c r="D24" i="1"/>
  <c r="D25" i="1"/>
  <c r="D26" i="1"/>
  <c r="G26" i="1" s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G61" i="1" s="1"/>
  <c r="D62" i="1"/>
  <c r="D63" i="1"/>
  <c r="D64" i="1"/>
  <c r="D65" i="1"/>
  <c r="G65" i="1" s="1"/>
  <c r="D66" i="1"/>
  <c r="D67" i="1"/>
  <c r="F61" i="1"/>
  <c r="F62" i="1"/>
  <c r="F63" i="1"/>
  <c r="F64" i="1"/>
  <c r="F65" i="1"/>
  <c r="F66" i="1"/>
  <c r="F67" i="1"/>
  <c r="G50" i="1"/>
  <c r="G51" i="1"/>
  <c r="G52" i="1"/>
  <c r="G53" i="1"/>
  <c r="G59" i="1"/>
  <c r="G60" i="1"/>
  <c r="G66" i="1"/>
  <c r="G67" i="1"/>
  <c r="G36" i="1"/>
  <c r="G44" i="1"/>
  <c r="G25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68" i="1"/>
  <c r="F69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68" i="1"/>
  <c r="B7" i="3"/>
  <c r="G10" i="1" l="1"/>
  <c r="G5" i="1"/>
  <c r="G28" i="1"/>
  <c r="G27" i="1"/>
  <c r="G13" i="1"/>
  <c r="G12" i="1"/>
  <c r="G4" i="1"/>
  <c r="G15" i="1"/>
  <c r="G7" i="1"/>
  <c r="G17" i="1"/>
  <c r="G9" i="1"/>
  <c r="G18" i="1"/>
  <c r="G2" i="1"/>
  <c r="G56" i="1"/>
  <c r="G63" i="1"/>
  <c r="G55" i="1"/>
  <c r="G32" i="1"/>
  <c r="G31" i="1"/>
  <c r="G48" i="1"/>
  <c r="G62" i="1"/>
  <c r="G54" i="1"/>
  <c r="G24" i="1"/>
  <c r="G40" i="1"/>
  <c r="G23" i="1"/>
  <c r="G47" i="1"/>
  <c r="G39" i="1"/>
  <c r="G64" i="1"/>
  <c r="G45" i="1"/>
  <c r="G37" i="1"/>
  <c r="G14" i="1"/>
  <c r="G6" i="1"/>
  <c r="G29" i="1"/>
  <c r="G30" i="1"/>
  <c r="G43" i="1"/>
  <c r="G42" i="1"/>
  <c r="G34" i="1"/>
  <c r="G22" i="1"/>
  <c r="G35" i="1"/>
  <c r="G16" i="1"/>
  <c r="G8" i="1"/>
  <c r="G46" i="1"/>
  <c r="G38" i="1"/>
</calcChain>
</file>

<file path=xl/sharedStrings.xml><?xml version="1.0" encoding="utf-8"?>
<sst xmlns="http://schemas.openxmlformats.org/spreadsheetml/2006/main" count="51" uniqueCount="48">
  <si>
    <t>Class Units</t>
  </si>
  <si>
    <t>Semester/Quarter</t>
  </si>
  <si>
    <t>Course</t>
  </si>
  <si>
    <t>CAS Units</t>
  </si>
  <si>
    <t>Grade Points</t>
  </si>
  <si>
    <t>Grade</t>
  </si>
  <si>
    <t>A+</t>
  </si>
  <si>
    <t>A</t>
  </si>
  <si>
    <t>A-</t>
  </si>
  <si>
    <t>B+</t>
  </si>
  <si>
    <t>B</t>
  </si>
  <si>
    <t>B-</t>
  </si>
  <si>
    <t>C+</t>
  </si>
  <si>
    <t>C</t>
  </si>
  <si>
    <t>C-</t>
  </si>
  <si>
    <t>F</t>
  </si>
  <si>
    <t>D+</t>
  </si>
  <si>
    <t>D</t>
  </si>
  <si>
    <t>D-</t>
  </si>
  <si>
    <t>CAS Grade</t>
  </si>
  <si>
    <t>Grand Total</t>
  </si>
  <si>
    <t>Row Labels</t>
  </si>
  <si>
    <t>Sum of Grade Points</t>
  </si>
  <si>
    <t>GPA</t>
  </si>
  <si>
    <t>Sum of CAS Units</t>
  </si>
  <si>
    <t>(blank)</t>
  </si>
  <si>
    <t>(All)</t>
  </si>
  <si>
    <t>Purpose</t>
  </si>
  <si>
    <t>Operation</t>
  </si>
  <si>
    <t xml:space="preserve">First, the user inputs their grades onto the "Input" sheet, specifying the unit count, mode of the school's instruction, and the grade; course name is </t>
  </si>
  <si>
    <t xml:space="preserve">Second, all data is automatically input into a Pivot Table, where summary data are calculated. If changes are made in "Input," user must click the </t>
  </si>
  <si>
    <t>"Refresh" button on the PivotData Analyze tab.</t>
  </si>
  <si>
    <t>Finally, a final CAS weighted GPA is output on the "Final GPA" sheet, rounded to two decimal places.</t>
  </si>
  <si>
    <t>Limitations</t>
  </si>
  <si>
    <t>This tool is only compatible with the standard American 4-point GPA scale for courses offered on semester or quarter systems. It was not designed</t>
  </si>
  <si>
    <t xml:space="preserve">The Law School Admission Council ("LSAC") is not particulary helpful when it comes to the Credential Assembly Service ("CAS"), nor how your Grade </t>
  </si>
  <si>
    <t xml:space="preserve">Quarter-to-semester conversions are necessarily flawed owing to the LSAC's opacity with conversion ratios. The consensus is that quarter units are </t>
  </si>
  <si>
    <t>to account for international grade-systems or universities, or for American universities on the trimester system.</t>
  </si>
  <si>
    <t xml:space="preserve">The tool does not accept W, P, NP or INC grades, or any other grades that do not adhere to the standard A-F distribution. This is because the </t>
  </si>
  <si>
    <t>LSAC itself does not count these when compiling your GPA.</t>
  </si>
  <si>
    <t xml:space="preserve">© 2021 Mustafa Ahmedani </t>
  </si>
  <si>
    <t>individual schools' GPA calculations, including varied weights for plus and minus grades, and quarter versus semester offerings.</t>
  </si>
  <si>
    <t>optional and the remainder of the parameters are calculated automatically. Grade points are retrieved from the GPA Scale sheet. All data can be</t>
  </si>
  <si>
    <t>cleared with the "Clear Data" button, associated with a simple VBA macro.</t>
  </si>
  <si>
    <t>Final GPAs are rounded to two decimal places herein for simplicity, but the LSAC and law schools alike do not specify whether CAS GPAs are rounded,</t>
  </si>
  <si>
    <t>nor whether schools themselves round averages for the purposes of admissions.</t>
  </si>
  <si>
    <t>Point Average ("GPA") is compiled. The intent of this spreadsheet tool is to rectify this, outputting a finalized CAS weighted GPA. It standardizes</t>
  </si>
  <si>
    <t>equivalent to roughly two-thirds of semester units. This tool uses a "*(2/3)" formula to account for this.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</si>
</sst>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2" borderId="0" xfId="0" applyFont="1" applyFill="1"/>
    <xf numFmtId="2" fontId="2" fillId="2" borderId="0" xfId="0" applyNumberFormat="1" applyFont="1" applyFill="1"/>
    <xf numFmtId="0" fontId="3" fillId="3" borderId="0" xfId="0" applyFont="1" applyFill="1"/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2" fillId="5" borderId="0" xfId="0" applyFont="1" applyFill="1"/>
    <xf numFmtId="0" fontId="0" fillId="3" borderId="1" xfId="0" applyFill="1" applyBorder="1"/>
    <xf numFmtId="0" fontId="2" fillId="3" borderId="1" xfId="0" applyFont="1" applyFill="1" applyBorder="1"/>
    <xf numFmtId="0" fontId="0" fillId="5" borderId="1" xfId="0" applyFill="1" applyBorder="1"/>
    <xf numFmtId="0" fontId="2" fillId="5" borderId="1" xfId="0" applyFont="1" applyFill="1" applyBorder="1"/>
    <xf numFmtId="0" fontId="2" fillId="4" borderId="1" xfId="0" applyFont="1" applyFill="1" applyBorder="1"/>
    <xf numFmtId="0" fontId="2" fillId="5" borderId="3" xfId="0" applyFont="1" applyFill="1" applyBorder="1"/>
    <xf numFmtId="0" fontId="2" fillId="5" borderId="2" xfId="0" applyFont="1" applyFill="1" applyBorder="1"/>
    <xf numFmtId="0" fontId="2" fillId="3" borderId="5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5" borderId="7" xfId="0" applyFont="1" applyFill="1" applyBorder="1"/>
    <xf numFmtId="0" fontId="0" fillId="3" borderId="7" xfId="0" applyFill="1" applyBorder="1"/>
    <xf numFmtId="0" fontId="3" fillId="5" borderId="8" xfId="0" applyFont="1" applyFill="1" applyBorder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numFmt numFmtId="164" formatCode=";;;"/>
    </dxf>
    <dxf>
      <numFmt numFmtId="164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6351</xdr:colOff>
      <xdr:row>3</xdr:row>
      <xdr:rowOff>6351</xdr:rowOff>
    </xdr:from>
    <xdr:to>
      <xdr:col>9</xdr:col>
      <xdr:colOff>819151</xdr:colOff>
      <xdr:row>5</xdr:row>
      <xdr:rowOff>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86AA2781-A78C-EF42-8D3F-9AC287253A06}"/>
            </a:ext>
          </a:extLst>
        </xdr:cNvPr>
        <xdr:cNvSpPr/>
      </xdr:nvSpPr>
      <xdr:spPr>
        <a:xfrm>
          <a:off x="10217151" y="692151"/>
          <a:ext cx="1638300" cy="450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</a:rPr>
            <a:t>Clear</a:t>
          </a:r>
          <a:r>
            <a:rPr lang="en-US" sz="1400" baseline="0">
              <a:solidFill>
                <a:schemeClr val="bg1"/>
              </a:solidFill>
            </a:rPr>
            <a:t> Data</a:t>
          </a:r>
          <a:endParaRPr lang="en-US" sz="1400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53.663021875" createdVersion="7" refreshedVersion="7" minRefreshableVersion="3" recordCount="66" xr:uid="{A0C58458-E851-DA41-A152-F8149C973FA1}">
  <cacheSource type="worksheet">
    <worksheetSource name="Table1"/>
  </cacheSource>
  <cacheFields count="7">
    <cacheField name="Course" numFmtId="0">
      <sharedItems containsNonDate="0" containsBlank="1" count="19">
        <m/>
        <s v="POL SCI 132A" u="1"/>
        <s v="POL SCI 123A" u="1"/>
        <s v="HNRS M175" u="1"/>
        <s v="HIN URD 1" u="1"/>
        <s v="POL SCI 119" u="1"/>
        <s v="HIST 149A" u="1"/>
        <s v="POL SCI 116A" u="1"/>
        <s v="POL SCI 120B" u="1"/>
        <s v="HIST 102A" u="1"/>
        <s v="IRANIAN 189HC" u="1"/>
        <s v="HIST 98TA" u="1"/>
        <s v="IVC" u="1"/>
        <s v="POL SCI 150" u="1"/>
        <s v="IRANIAN 164" u="1"/>
        <s v="PUB AFF 30" u="1"/>
        <s v="POL SCI 120A" u="1"/>
        <s v="IRANIAN M110C" u="1"/>
        <s v="HIST 187K" u="1"/>
      </sharedItems>
    </cacheField>
    <cacheField name="Class Units" numFmtId="0">
      <sharedItems containsNonDate="0" containsString="0" containsBlank="1"/>
    </cacheField>
    <cacheField name="Semester/Quarter" numFmtId="0">
      <sharedItems containsNonDate="0" containsString="0" containsBlank="1"/>
    </cacheField>
    <cacheField name="CAS Units" numFmtId="0">
      <sharedItems containsBlank="1"/>
    </cacheField>
    <cacheField name="Grade" numFmtId="0">
      <sharedItems containsNonDate="0" containsBlank="1" count="3">
        <m/>
        <s v="A" u="1"/>
        <s v="A+" u="1"/>
      </sharedItems>
    </cacheField>
    <cacheField name="CAS Grade" numFmtId="0">
      <sharedItems containsBlank="1"/>
    </cacheField>
    <cacheField name="Grade Points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m/>
    <x v="0"/>
    <m/>
    <m/>
  </r>
  <r>
    <x v="0"/>
    <m/>
    <m/>
    <m/>
    <x v="0"/>
    <m/>
    <m/>
  </r>
  <r>
    <x v="0"/>
    <m/>
    <m/>
    <m/>
    <x v="0"/>
    <m/>
    <m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  <r>
    <x v="0"/>
    <m/>
    <m/>
    <s v=""/>
    <x v="0"/>
    <s v="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1E245F-48E6-AE47-A81B-1421F05AD173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5" firstHeaderRow="0" firstDataRow="1" firstDataCol="1" rowPageCount="1" colPageCount="1"/>
  <pivotFields count="7">
    <pivotField axis="axisRow" showAll="0">
      <items count="20">
        <item m="1" x="4"/>
        <item m="1" x="9"/>
        <item m="1" x="6"/>
        <item m="1" x="3"/>
        <item m="1" x="14"/>
        <item m="1" x="10"/>
        <item m="1" x="17"/>
        <item m="1" x="12"/>
        <item m="1" x="5"/>
        <item m="1" x="16"/>
        <item m="1" x="8"/>
        <item m="1" x="2"/>
        <item m="1" x="1"/>
        <item m="1" x="13"/>
        <item m="1" x="15"/>
        <item x="0"/>
        <item m="1" x="11"/>
        <item m="1" x="18"/>
        <item m="1" x="7"/>
        <item t="default"/>
      </items>
    </pivotField>
    <pivotField showAll="0"/>
    <pivotField showAll="0"/>
    <pivotField dataField="1" showAll="0"/>
    <pivotField axis="axisPage" showAll="0">
      <items count="4">
        <item m="1" x="1"/>
        <item m="1" x="2"/>
        <item x="0"/>
        <item t="default"/>
      </items>
    </pivotField>
    <pivotField showAll="0"/>
    <pivotField dataField="1" showAll="0"/>
  </pivotFields>
  <rowFields count="1">
    <field x="0"/>
  </rowFields>
  <rowItems count="2">
    <i>
      <x v="15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um of Grade Points" fld="6" baseField="0" baseItem="0"/>
    <dataField name="Sum of CAS Unit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0BA4BD-210A-0947-89DF-39898FFB1621}" name="Table1" displayName="Table1" ref="A1:G67" totalsRowShown="0" headerRowDxfId="8" dataDxfId="7">
  <autoFilter ref="A1:G67" xr:uid="{6E0BA4BD-210A-0947-89DF-39898FFB1621}"/>
  <tableColumns count="7">
    <tableColumn id="1" xr3:uid="{5B58B0DB-5BAC-A54C-A6B6-38E4595E541B}" name="Course" dataDxfId="6"/>
    <tableColumn id="2" xr3:uid="{EFEED7AC-6D3A-894C-BFDF-36C8540D9748}" name="Class Units" dataDxfId="5"/>
    <tableColumn id="3" xr3:uid="{84231A26-0817-8B4F-9972-67139F5B7152}" name="Semester/Quarter" dataDxfId="4"/>
    <tableColumn id="4" xr3:uid="{B7A0A07E-F90E-4F40-8CE8-4213E51AE50E}" name="CAS Units" dataDxfId="3">
      <calculatedColumnFormula>IF(C2=0,"",IF(C2="S",B2*1,B2*0.67))</calculatedColumnFormula>
    </tableColumn>
    <tableColumn id="5" xr3:uid="{FC8481B6-6B9E-704F-ABBD-0C09CC152949}" name="Grade" dataDxfId="2"/>
    <tableColumn id="6" xr3:uid="{9171FAE6-9D55-8448-BCFC-BACC0284CD80}" name="CAS Grade" dataDxfId="1">
      <calculatedColumnFormula>_xlfn.XLOOKUP(Input!E2,'GPA Scale'!$A$2:$A$14,'GPA Scale'!$B$2:$B$14,"",)</calculatedColumnFormula>
    </tableColumn>
    <tableColumn id="7" xr3:uid="{62C8A130-3363-0D4B-A11D-7C2B3528EBFE}" name="Grade Points" dataDxfId="0">
      <calculatedColumnFormula>IFERROR(D2*F2,0)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16BBD-753A-1C4F-9384-C993A8A0430F}">
  <sheetPr codeName="Sheet5"/>
  <dimension ref="A1:P33"/>
  <sheetViews>
    <sheetView zoomScale="101" workbookViewId="0">
      <selection activeCell="H10" sqref="H10"/>
    </sheetView>
  </sheetViews>
  <sheetFormatPr baseColWidth="10" defaultRowHeight="16" x14ac:dyDescent="0.2"/>
  <cols>
    <col min="1" max="1" width="28.5" style="11" bestFit="1" customWidth="1"/>
    <col min="2" max="16384" width="10.83203125" style="11"/>
  </cols>
  <sheetData>
    <row r="1" spans="1:16" ht="18" x14ac:dyDescent="0.2">
      <c r="A1" s="25" t="s">
        <v>27</v>
      </c>
      <c r="B1" s="22" t="s">
        <v>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4"/>
    </row>
    <row r="2" spans="1:16" ht="18" x14ac:dyDescent="0.2">
      <c r="A2" s="26"/>
      <c r="B2" s="10" t="s">
        <v>46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6"/>
    </row>
    <row r="3" spans="1:16" ht="18" x14ac:dyDescent="0.2">
      <c r="A3" s="26"/>
      <c r="B3" s="10" t="s">
        <v>41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6"/>
    </row>
    <row r="4" spans="1:16" ht="18" x14ac:dyDescent="0.2">
      <c r="A4" s="27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7"/>
    </row>
    <row r="5" spans="1:16" ht="18" x14ac:dyDescent="0.2">
      <c r="A5" s="26" t="s">
        <v>28</v>
      </c>
      <c r="B5" s="10" t="s">
        <v>29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6"/>
    </row>
    <row r="6" spans="1:16" ht="18" x14ac:dyDescent="0.2">
      <c r="A6" s="26"/>
      <c r="B6" s="10" t="s">
        <v>42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6"/>
    </row>
    <row r="7" spans="1:16" ht="18" x14ac:dyDescent="0.2">
      <c r="A7" s="26"/>
      <c r="B7" s="10" t="s">
        <v>43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6"/>
    </row>
    <row r="8" spans="1:16" x14ac:dyDescent="0.2">
      <c r="A8" s="28"/>
      <c r="P8" s="15"/>
    </row>
    <row r="9" spans="1:16" ht="18" x14ac:dyDescent="0.2">
      <c r="A9" s="26"/>
      <c r="B9" s="10" t="s">
        <v>30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6"/>
    </row>
    <row r="10" spans="1:16" ht="18" x14ac:dyDescent="0.2">
      <c r="A10" s="26"/>
      <c r="B10" s="10" t="s">
        <v>31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6"/>
    </row>
    <row r="11" spans="1:16" ht="18" x14ac:dyDescent="0.2">
      <c r="A11" s="26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6"/>
    </row>
    <row r="12" spans="1:16" ht="18" x14ac:dyDescent="0.2">
      <c r="A12" s="26"/>
      <c r="B12" s="10" t="s">
        <v>32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6"/>
    </row>
    <row r="13" spans="1:16" ht="18" x14ac:dyDescent="0.2">
      <c r="A13" s="27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8"/>
    </row>
    <row r="14" spans="1:16" ht="18" x14ac:dyDescent="0.2">
      <c r="A14" s="26" t="s">
        <v>33</v>
      </c>
      <c r="B14" s="10" t="s">
        <v>34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6"/>
    </row>
    <row r="15" spans="1:16" ht="18" x14ac:dyDescent="0.2">
      <c r="A15" s="26"/>
      <c r="B15" s="10" t="s">
        <v>37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6"/>
    </row>
    <row r="16" spans="1:16" ht="18" x14ac:dyDescent="0.2">
      <c r="A16" s="26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6"/>
    </row>
    <row r="17" spans="1:16" ht="18" x14ac:dyDescent="0.2">
      <c r="A17" s="26"/>
      <c r="B17" s="10" t="s">
        <v>36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6"/>
    </row>
    <row r="18" spans="1:16" ht="18" x14ac:dyDescent="0.2">
      <c r="A18" s="26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6"/>
    </row>
    <row r="19" spans="1:16" ht="18" x14ac:dyDescent="0.2">
      <c r="A19" s="26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6"/>
    </row>
    <row r="20" spans="1:16" ht="18" x14ac:dyDescent="0.2">
      <c r="A20" s="26"/>
      <c r="B20" s="10" t="s">
        <v>44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6"/>
    </row>
    <row r="21" spans="1:16" ht="18" x14ac:dyDescent="0.2">
      <c r="A21" s="26"/>
      <c r="B21" s="10" t="s">
        <v>45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6"/>
    </row>
    <row r="22" spans="1:16" ht="18" x14ac:dyDescent="0.2">
      <c r="A22" s="26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6"/>
    </row>
    <row r="23" spans="1:16" ht="18" x14ac:dyDescent="0.2">
      <c r="A23" s="26"/>
      <c r="B23" s="12" t="s">
        <v>38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9"/>
    </row>
    <row r="24" spans="1:16" ht="18" x14ac:dyDescent="0.2">
      <c r="A24" s="26"/>
      <c r="B24" s="12" t="s">
        <v>39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9"/>
    </row>
    <row r="25" spans="1:16" ht="19" x14ac:dyDescent="0.25">
      <c r="A25" s="2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1"/>
    </row>
    <row r="26" spans="1:16" ht="19" x14ac:dyDescent="0.25">
      <c r="A26" s="9" t="s">
        <v>40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6" ht="19" x14ac:dyDescent="0.25">
      <c r="A27" s="9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6" ht="19" x14ac:dyDescent="0.25">
      <c r="A28" s="9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ht="19" x14ac:dyDescent="0.25">
      <c r="A29" s="9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</row>
    <row r="30" spans="1:16" ht="19" x14ac:dyDescent="0.25">
      <c r="A30" s="9"/>
    </row>
    <row r="31" spans="1:16" ht="19" x14ac:dyDescent="0.25">
      <c r="A31" s="9"/>
    </row>
    <row r="32" spans="1:16" ht="19" x14ac:dyDescent="0.25">
      <c r="A32" s="9"/>
    </row>
    <row r="33" spans="1:1" ht="19" x14ac:dyDescent="0.25">
      <c r="A33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AEBC7-83E6-EF4E-982A-27FBA19723BB}">
  <sheetPr codeName="Sheet1"/>
  <dimension ref="A1:M94"/>
  <sheetViews>
    <sheetView tabSelected="1" zoomScale="92" workbookViewId="0">
      <selection activeCell="C8" sqref="C8"/>
    </sheetView>
  </sheetViews>
  <sheetFormatPr baseColWidth="10" defaultRowHeight="16" x14ac:dyDescent="0.2"/>
  <cols>
    <col min="1" max="1" width="19" bestFit="1" customWidth="1"/>
    <col min="2" max="2" width="16.5" customWidth="1"/>
    <col min="3" max="3" width="23.1640625" customWidth="1"/>
    <col min="4" max="4" width="15" customWidth="1"/>
    <col min="6" max="6" width="20.33203125" bestFit="1" customWidth="1"/>
    <col min="7" max="7" width="18.33203125" customWidth="1"/>
  </cols>
  <sheetData>
    <row r="1" spans="1:13" ht="18" x14ac:dyDescent="0.2">
      <c r="A1" s="1" t="s">
        <v>2</v>
      </c>
      <c r="B1" s="1" t="s">
        <v>0</v>
      </c>
      <c r="C1" s="1" t="s">
        <v>1</v>
      </c>
      <c r="D1" s="1" t="s">
        <v>3</v>
      </c>
      <c r="E1" s="1" t="s">
        <v>5</v>
      </c>
      <c r="F1" s="1" t="s">
        <v>19</v>
      </c>
      <c r="G1" s="1" t="s">
        <v>4</v>
      </c>
      <c r="H1" s="1"/>
      <c r="I1" s="1"/>
      <c r="J1" s="1"/>
      <c r="K1" s="1"/>
      <c r="L1" s="1"/>
      <c r="M1" s="1"/>
    </row>
    <row r="2" spans="1:13" ht="18" x14ac:dyDescent="0.2">
      <c r="A2" s="2"/>
      <c r="B2" s="2"/>
      <c r="C2" s="2"/>
      <c r="D2" s="2" t="str">
        <f t="shared" ref="D2:D33" si="0">IF(C2=0,"",IF(C2="S",B2*1,B2*0.67))</f>
        <v/>
      </c>
      <c r="E2" s="2"/>
      <c r="F2" s="2" t="str">
        <f>_xlfn.XLOOKUP(Input!E2,'GPA Scale'!$A$2:$A$14,'GPA Scale'!$B$2:$B$14,"",)</f>
        <v/>
      </c>
      <c r="G2" s="2">
        <f>IFERROR(D2*F2,0)</f>
        <v>0</v>
      </c>
      <c r="H2" s="1"/>
      <c r="I2" s="1"/>
      <c r="J2" s="1"/>
      <c r="K2" s="1"/>
      <c r="L2" s="1"/>
      <c r="M2" s="1"/>
    </row>
    <row r="3" spans="1:13" ht="18" x14ac:dyDescent="0.2">
      <c r="A3" s="2"/>
      <c r="B3" s="2"/>
      <c r="C3" s="2"/>
      <c r="D3" s="2" t="str">
        <f t="shared" si="0"/>
        <v/>
      </c>
      <c r="E3" s="2"/>
      <c r="F3" s="2" t="str">
        <f>_xlfn.XLOOKUP(Input!E3,'GPA Scale'!$A$2:$A$14,'GPA Scale'!$B$2:$B$14,"",)</f>
        <v/>
      </c>
      <c r="G3" s="2">
        <f t="shared" ref="G3:G66" si="1">IFERROR(D3*F3,0)</f>
        <v>0</v>
      </c>
      <c r="H3" s="2"/>
    </row>
    <row r="4" spans="1:13" ht="18" x14ac:dyDescent="0.2">
      <c r="A4" s="2"/>
      <c r="B4" s="2"/>
      <c r="C4" s="2"/>
      <c r="D4" s="2" t="str">
        <f t="shared" si="0"/>
        <v/>
      </c>
      <c r="E4" s="2"/>
      <c r="F4" s="2" t="str">
        <f>_xlfn.XLOOKUP(Input!E4,'GPA Scale'!$A$2:$A$14,'GPA Scale'!$B$2:$B$14,"",)</f>
        <v/>
      </c>
      <c r="G4" s="2">
        <f t="shared" si="1"/>
        <v>0</v>
      </c>
      <c r="H4" s="2"/>
    </row>
    <row r="5" spans="1:13" ht="18" x14ac:dyDescent="0.2">
      <c r="A5" s="2"/>
      <c r="B5" s="2"/>
      <c r="C5" s="2"/>
      <c r="D5" s="2" t="str">
        <f t="shared" si="0"/>
        <v/>
      </c>
      <c r="E5" s="2"/>
      <c r="F5" s="2" t="str">
        <f>_xlfn.XLOOKUP(Input!E5,'GPA Scale'!$A$2:$A$14,'GPA Scale'!$B$2:$B$14,"",)</f>
        <v/>
      </c>
      <c r="G5" s="2">
        <f t="shared" si="1"/>
        <v>0</v>
      </c>
      <c r="H5" s="2"/>
    </row>
    <row r="6" spans="1:13" ht="18" x14ac:dyDescent="0.2">
      <c r="A6" s="2"/>
      <c r="B6" s="2"/>
      <c r="C6" s="2"/>
      <c r="D6" s="2" t="str">
        <f t="shared" si="0"/>
        <v/>
      </c>
      <c r="E6" s="2"/>
      <c r="F6" s="2" t="str">
        <f>_xlfn.XLOOKUP(Input!E6,'GPA Scale'!$A$2:$A$14,'GPA Scale'!$B$2:$B$14,"",)</f>
        <v/>
      </c>
      <c r="G6" s="2">
        <f t="shared" si="1"/>
        <v>0</v>
      </c>
      <c r="H6" s="2"/>
    </row>
    <row r="7" spans="1:13" ht="18" x14ac:dyDescent="0.2">
      <c r="A7" s="2"/>
      <c r="B7" s="2"/>
      <c r="C7" s="2"/>
      <c r="D7" s="2" t="str">
        <f t="shared" si="0"/>
        <v/>
      </c>
      <c r="E7" s="2"/>
      <c r="F7" s="2" t="str">
        <f>_xlfn.XLOOKUP(Input!E7,'GPA Scale'!$A$2:$A$14,'GPA Scale'!$B$2:$B$14,"",)</f>
        <v/>
      </c>
      <c r="G7" s="2">
        <f t="shared" si="1"/>
        <v>0</v>
      </c>
      <c r="H7" s="2"/>
    </row>
    <row r="8" spans="1:13" ht="18" x14ac:dyDescent="0.2">
      <c r="A8" s="2"/>
      <c r="B8" s="2"/>
      <c r="C8" s="2"/>
      <c r="D8" s="2" t="str">
        <f t="shared" si="0"/>
        <v/>
      </c>
      <c r="E8" s="2"/>
      <c r="F8" s="2" t="str">
        <f>_xlfn.XLOOKUP(Input!E8,'GPA Scale'!$A$2:$A$14,'GPA Scale'!$B$2:$B$14,"",)</f>
        <v/>
      </c>
      <c r="G8" s="2">
        <f t="shared" si="1"/>
        <v>0</v>
      </c>
      <c r="H8" s="2"/>
    </row>
    <row r="9" spans="1:13" ht="18" x14ac:dyDescent="0.2">
      <c r="A9" s="2"/>
      <c r="B9" s="2"/>
      <c r="C9" s="2"/>
      <c r="D9" s="2" t="str">
        <f t="shared" si="0"/>
        <v/>
      </c>
      <c r="E9" s="2"/>
      <c r="F9" s="2" t="str">
        <f>_xlfn.XLOOKUP(Input!E9,'GPA Scale'!$A$2:$A$14,'GPA Scale'!$B$2:$B$14,"",)</f>
        <v/>
      </c>
      <c r="G9" s="2">
        <f t="shared" si="1"/>
        <v>0</v>
      </c>
      <c r="H9" s="2"/>
    </row>
    <row r="10" spans="1:13" ht="18" x14ac:dyDescent="0.2">
      <c r="A10" s="2"/>
      <c r="B10" s="2"/>
      <c r="C10" s="2"/>
      <c r="D10" s="2" t="str">
        <f t="shared" si="0"/>
        <v/>
      </c>
      <c r="E10" s="2"/>
      <c r="F10" s="2" t="str">
        <f>_xlfn.XLOOKUP(Input!E10,'GPA Scale'!$A$2:$A$14,'GPA Scale'!$B$2:$B$14,"",)</f>
        <v/>
      </c>
      <c r="G10" s="2">
        <f t="shared" si="1"/>
        <v>0</v>
      </c>
      <c r="H10" s="2"/>
    </row>
    <row r="11" spans="1:13" ht="18" x14ac:dyDescent="0.2">
      <c r="A11" s="2"/>
      <c r="B11" s="2"/>
      <c r="C11" s="2"/>
      <c r="D11" s="2" t="str">
        <f t="shared" si="0"/>
        <v/>
      </c>
      <c r="E11" s="2"/>
      <c r="F11" s="2" t="str">
        <f>_xlfn.XLOOKUP(Input!E11,'GPA Scale'!$A$2:$A$14,'GPA Scale'!$B$2:$B$14,"",)</f>
        <v/>
      </c>
      <c r="G11" s="2">
        <f t="shared" si="1"/>
        <v>0</v>
      </c>
      <c r="H11" s="2"/>
    </row>
    <row r="12" spans="1:13" ht="18" x14ac:dyDescent="0.2">
      <c r="A12" s="2"/>
      <c r="B12" s="2"/>
      <c r="C12" s="2"/>
      <c r="D12" s="2" t="str">
        <f t="shared" si="0"/>
        <v/>
      </c>
      <c r="E12" s="2"/>
      <c r="F12" s="2" t="str">
        <f>_xlfn.XLOOKUP(Input!E12,'GPA Scale'!$A$2:$A$14,'GPA Scale'!$B$2:$B$14,"",)</f>
        <v/>
      </c>
      <c r="G12" s="2">
        <f t="shared" si="1"/>
        <v>0</v>
      </c>
      <c r="H12" s="2"/>
    </row>
    <row r="13" spans="1:13" ht="18" x14ac:dyDescent="0.2">
      <c r="A13" s="2"/>
      <c r="B13" s="2"/>
      <c r="C13" s="2"/>
      <c r="D13" s="2" t="str">
        <f t="shared" si="0"/>
        <v/>
      </c>
      <c r="E13" s="2"/>
      <c r="F13" s="2" t="str">
        <f>_xlfn.XLOOKUP(Input!E13,'GPA Scale'!$A$2:$A$14,'GPA Scale'!$B$2:$B$14,"",)</f>
        <v/>
      </c>
      <c r="G13" s="2">
        <f t="shared" si="1"/>
        <v>0</v>
      </c>
      <c r="H13" s="2"/>
    </row>
    <row r="14" spans="1:13" ht="18" x14ac:dyDescent="0.2">
      <c r="A14" s="2"/>
      <c r="B14" s="2"/>
      <c r="C14" s="2"/>
      <c r="D14" s="2" t="str">
        <f t="shared" si="0"/>
        <v/>
      </c>
      <c r="E14" s="2"/>
      <c r="F14" s="2" t="str">
        <f>_xlfn.XLOOKUP(Input!E14,'GPA Scale'!$A$2:$A$14,'GPA Scale'!$B$2:$B$14,"",)</f>
        <v/>
      </c>
      <c r="G14" s="2">
        <f t="shared" si="1"/>
        <v>0</v>
      </c>
      <c r="H14" s="2"/>
    </row>
    <row r="15" spans="1:13" ht="18" x14ac:dyDescent="0.2">
      <c r="A15" s="2"/>
      <c r="B15" s="2"/>
      <c r="C15" s="2"/>
      <c r="D15" s="2" t="str">
        <f t="shared" si="0"/>
        <v/>
      </c>
      <c r="E15" s="2"/>
      <c r="F15" s="2" t="str">
        <f>_xlfn.XLOOKUP(Input!E15,'GPA Scale'!$A$2:$A$14,'GPA Scale'!$B$2:$B$14,"",)</f>
        <v/>
      </c>
      <c r="G15" s="2">
        <f t="shared" si="1"/>
        <v>0</v>
      </c>
      <c r="H15" s="2"/>
    </row>
    <row r="16" spans="1:13" ht="18" x14ac:dyDescent="0.2">
      <c r="A16" s="2"/>
      <c r="B16" s="2"/>
      <c r="C16" s="2"/>
      <c r="D16" s="2" t="str">
        <f t="shared" si="0"/>
        <v/>
      </c>
      <c r="E16" s="2"/>
      <c r="F16" s="2" t="str">
        <f>_xlfn.XLOOKUP(Input!E16,'GPA Scale'!$A$2:$A$14,'GPA Scale'!$B$2:$B$14,"",)</f>
        <v/>
      </c>
      <c r="G16" s="2">
        <f t="shared" si="1"/>
        <v>0</v>
      </c>
      <c r="H16" s="2"/>
    </row>
    <row r="17" spans="1:8" ht="18" x14ac:dyDescent="0.2">
      <c r="A17" s="2"/>
      <c r="B17" s="2"/>
      <c r="C17" s="2"/>
      <c r="D17" s="2" t="str">
        <f t="shared" si="0"/>
        <v/>
      </c>
      <c r="E17" s="2"/>
      <c r="F17" s="2" t="str">
        <f>_xlfn.XLOOKUP(Input!E17,'GPA Scale'!$A$2:$A$14,'GPA Scale'!$B$2:$B$14,"",)</f>
        <v/>
      </c>
      <c r="G17" s="2">
        <f t="shared" si="1"/>
        <v>0</v>
      </c>
      <c r="H17" s="2"/>
    </row>
    <row r="18" spans="1:8" ht="18" x14ac:dyDescent="0.2">
      <c r="A18" s="2"/>
      <c r="B18" s="2"/>
      <c r="C18" s="2"/>
      <c r="D18" s="2" t="str">
        <f t="shared" si="0"/>
        <v/>
      </c>
      <c r="E18" s="2"/>
      <c r="F18" s="2" t="str">
        <f>_xlfn.XLOOKUP(Input!E18,'GPA Scale'!$A$2:$A$14,'GPA Scale'!$B$2:$B$14,"",)</f>
        <v/>
      </c>
      <c r="G18" s="2">
        <f>IFERROR(D18*F18,0)</f>
        <v>0</v>
      </c>
      <c r="H18" s="2"/>
    </row>
    <row r="19" spans="1:8" ht="18" x14ac:dyDescent="0.2">
      <c r="A19" s="2"/>
      <c r="B19" s="2"/>
      <c r="C19" s="2"/>
      <c r="D19" s="2"/>
      <c r="E19" s="2"/>
      <c r="F19" s="2"/>
      <c r="G19" s="2">
        <f t="shared" si="1"/>
        <v>0</v>
      </c>
      <c r="H19" s="2"/>
    </row>
    <row r="20" spans="1:8" ht="18" x14ac:dyDescent="0.2">
      <c r="A20" s="2"/>
      <c r="B20" s="2"/>
      <c r="C20" s="2"/>
      <c r="D20" s="2"/>
      <c r="E20" s="2"/>
      <c r="F20" s="2"/>
      <c r="G20" s="2">
        <f t="shared" si="1"/>
        <v>0</v>
      </c>
      <c r="H20" s="2"/>
    </row>
    <row r="21" spans="1:8" ht="18" x14ac:dyDescent="0.2">
      <c r="A21" s="2"/>
      <c r="B21" s="2"/>
      <c r="C21" s="2"/>
      <c r="D21" s="2"/>
      <c r="E21" s="2"/>
      <c r="F21" s="2"/>
      <c r="G21" s="2">
        <f t="shared" si="1"/>
        <v>0</v>
      </c>
      <c r="H21" s="2"/>
    </row>
    <row r="22" spans="1:8" ht="18" x14ac:dyDescent="0.2">
      <c r="A22" s="2"/>
      <c r="B22" s="2"/>
      <c r="C22" s="2"/>
      <c r="D22" s="2" t="str">
        <f t="shared" si="0"/>
        <v/>
      </c>
      <c r="E22" s="2"/>
      <c r="F22" s="2" t="str">
        <f>_xlfn.XLOOKUP(Input!E22,'GPA Scale'!$A$2:$A$14,'GPA Scale'!$B$2:$B$14,"",)</f>
        <v/>
      </c>
      <c r="G22" s="2">
        <f t="shared" si="1"/>
        <v>0</v>
      </c>
      <c r="H22" s="2"/>
    </row>
    <row r="23" spans="1:8" ht="18" x14ac:dyDescent="0.2">
      <c r="A23" s="2"/>
      <c r="B23" s="2"/>
      <c r="C23" s="2"/>
      <c r="D23" s="2" t="str">
        <f t="shared" si="0"/>
        <v/>
      </c>
      <c r="E23" s="2"/>
      <c r="F23" s="2" t="str">
        <f>_xlfn.XLOOKUP(Input!E23,'GPA Scale'!$A$2:$A$14,'GPA Scale'!$B$2:$B$14,"",)</f>
        <v/>
      </c>
      <c r="G23" s="2">
        <f t="shared" si="1"/>
        <v>0</v>
      </c>
      <c r="H23" s="2"/>
    </row>
    <row r="24" spans="1:8" ht="18" x14ac:dyDescent="0.2">
      <c r="A24" s="2"/>
      <c r="B24" s="2"/>
      <c r="C24" s="2"/>
      <c r="D24" s="2" t="str">
        <f t="shared" si="0"/>
        <v/>
      </c>
      <c r="E24" s="2"/>
      <c r="F24" s="2" t="str">
        <f>_xlfn.XLOOKUP(Input!E24,'GPA Scale'!$A$2:$A$14,'GPA Scale'!$B$2:$B$14,"",)</f>
        <v/>
      </c>
      <c r="G24" s="2">
        <f t="shared" si="1"/>
        <v>0</v>
      </c>
      <c r="H24" s="2"/>
    </row>
    <row r="25" spans="1:8" ht="18" x14ac:dyDescent="0.2">
      <c r="A25" s="2"/>
      <c r="B25" s="2"/>
      <c r="C25" s="2"/>
      <c r="D25" s="2" t="str">
        <f t="shared" si="0"/>
        <v/>
      </c>
      <c r="E25" s="2"/>
      <c r="F25" s="2" t="str">
        <f>_xlfn.XLOOKUP(Input!E25,'GPA Scale'!$A$2:$A$14,'GPA Scale'!$B$2:$B$14,"",)</f>
        <v/>
      </c>
      <c r="G25" s="2">
        <f t="shared" si="1"/>
        <v>0</v>
      </c>
      <c r="H25" s="2"/>
    </row>
    <row r="26" spans="1:8" ht="18" x14ac:dyDescent="0.2">
      <c r="A26" s="2"/>
      <c r="B26" s="2"/>
      <c r="C26" s="2"/>
      <c r="D26" s="2" t="str">
        <f t="shared" si="0"/>
        <v/>
      </c>
      <c r="E26" s="2"/>
      <c r="F26" s="2" t="str">
        <f>_xlfn.XLOOKUP(Input!E26,'GPA Scale'!$A$2:$A$14,'GPA Scale'!$B$2:$B$14,"",)</f>
        <v/>
      </c>
      <c r="G26" s="2">
        <f t="shared" si="1"/>
        <v>0</v>
      </c>
      <c r="H26" s="2"/>
    </row>
    <row r="27" spans="1:8" ht="18" x14ac:dyDescent="0.2">
      <c r="A27" s="2"/>
      <c r="B27" s="2"/>
      <c r="C27" s="2"/>
      <c r="D27" s="2" t="str">
        <f t="shared" si="0"/>
        <v/>
      </c>
      <c r="E27" s="2"/>
      <c r="F27" s="2" t="str">
        <f>_xlfn.XLOOKUP(Input!E27,'GPA Scale'!$A$2:$A$14,'GPA Scale'!$B$2:$B$14,"",)</f>
        <v/>
      </c>
      <c r="G27" s="2">
        <f t="shared" si="1"/>
        <v>0</v>
      </c>
    </row>
    <row r="28" spans="1:8" ht="18" x14ac:dyDescent="0.2">
      <c r="A28" s="2"/>
      <c r="B28" s="2"/>
      <c r="C28" s="2"/>
      <c r="D28" s="2" t="str">
        <f t="shared" si="0"/>
        <v/>
      </c>
      <c r="E28" s="2"/>
      <c r="F28" s="2" t="str">
        <f>_xlfn.XLOOKUP(Input!E28,'GPA Scale'!$A$2:$A$14,'GPA Scale'!$B$2:$B$14,"",)</f>
        <v/>
      </c>
      <c r="G28" s="2">
        <f t="shared" si="1"/>
        <v>0</v>
      </c>
    </row>
    <row r="29" spans="1:8" ht="18" x14ac:dyDescent="0.2">
      <c r="A29" s="2"/>
      <c r="B29" s="2"/>
      <c r="C29" s="2"/>
      <c r="D29" s="2" t="str">
        <f t="shared" si="0"/>
        <v/>
      </c>
      <c r="E29" s="2"/>
      <c r="F29" s="2" t="str">
        <f>_xlfn.XLOOKUP(Input!E29,'GPA Scale'!$A$2:$A$14,'GPA Scale'!$B$2:$B$14,"",)</f>
        <v/>
      </c>
      <c r="G29" s="2">
        <f t="shared" si="1"/>
        <v>0</v>
      </c>
    </row>
    <row r="30" spans="1:8" ht="18" x14ac:dyDescent="0.2">
      <c r="A30" s="2"/>
      <c r="B30" s="2"/>
      <c r="C30" s="2"/>
      <c r="D30" s="2" t="str">
        <f t="shared" si="0"/>
        <v/>
      </c>
      <c r="E30" s="2"/>
      <c r="F30" s="2" t="str">
        <f>_xlfn.XLOOKUP(Input!E30,'GPA Scale'!$A$2:$A$14,'GPA Scale'!$B$2:$B$14,"",)</f>
        <v/>
      </c>
      <c r="G30" s="2">
        <f t="shared" si="1"/>
        <v>0</v>
      </c>
    </row>
    <row r="31" spans="1:8" ht="18" x14ac:dyDescent="0.2">
      <c r="A31" s="2"/>
      <c r="B31" s="2"/>
      <c r="C31" s="2"/>
      <c r="D31" s="2" t="str">
        <f t="shared" si="0"/>
        <v/>
      </c>
      <c r="E31" s="2"/>
      <c r="F31" s="2" t="str">
        <f>_xlfn.XLOOKUP(Input!E31,'GPA Scale'!$A$2:$A$14,'GPA Scale'!$B$2:$B$14,"",)</f>
        <v/>
      </c>
      <c r="G31" s="2">
        <f t="shared" si="1"/>
        <v>0</v>
      </c>
    </row>
    <row r="32" spans="1:8" ht="18" x14ac:dyDescent="0.2">
      <c r="A32" s="2"/>
      <c r="B32" s="2"/>
      <c r="C32" s="2"/>
      <c r="D32" s="2" t="str">
        <f t="shared" si="0"/>
        <v/>
      </c>
      <c r="E32" s="2"/>
      <c r="F32" s="2" t="str">
        <f>_xlfn.XLOOKUP(Input!E32,'GPA Scale'!$A$2:$A$14,'GPA Scale'!$B$2:$B$14,"",)</f>
        <v/>
      </c>
      <c r="G32" s="2">
        <f t="shared" si="1"/>
        <v>0</v>
      </c>
    </row>
    <row r="33" spans="1:7" ht="18" x14ac:dyDescent="0.2">
      <c r="A33" s="2"/>
      <c r="B33" s="2"/>
      <c r="C33" s="2"/>
      <c r="D33" s="2" t="str">
        <f t="shared" si="0"/>
        <v/>
      </c>
      <c r="E33" s="2"/>
      <c r="F33" s="2" t="str">
        <f>_xlfn.XLOOKUP(Input!E33,'GPA Scale'!$A$2:$A$14,'GPA Scale'!$B$2:$B$14,"",)</f>
        <v/>
      </c>
      <c r="G33" s="2">
        <f t="shared" si="1"/>
        <v>0</v>
      </c>
    </row>
    <row r="34" spans="1:7" ht="18" x14ac:dyDescent="0.2">
      <c r="A34" s="2"/>
      <c r="B34" s="2"/>
      <c r="C34" s="2"/>
      <c r="D34" s="2" t="str">
        <f t="shared" ref="D34:D65" si="2">IF(C34=0,"",IF(C34="S",B34*1,B34*0.67))</f>
        <v/>
      </c>
      <c r="E34" s="2"/>
      <c r="F34" s="2" t="str">
        <f>_xlfn.XLOOKUP(Input!E34,'GPA Scale'!$A$2:$A$14,'GPA Scale'!$B$2:$B$14,"",)</f>
        <v/>
      </c>
      <c r="G34" s="2">
        <f t="shared" si="1"/>
        <v>0</v>
      </c>
    </row>
    <row r="35" spans="1:7" ht="18" x14ac:dyDescent="0.2">
      <c r="A35" s="2"/>
      <c r="B35" s="2"/>
      <c r="C35" s="2"/>
      <c r="D35" s="2" t="str">
        <f t="shared" si="2"/>
        <v/>
      </c>
      <c r="E35" s="2"/>
      <c r="F35" s="2" t="str">
        <f>_xlfn.XLOOKUP(Input!E35,'GPA Scale'!$A$2:$A$14,'GPA Scale'!$B$2:$B$14,"",)</f>
        <v/>
      </c>
      <c r="G35" s="2">
        <f t="shared" si="1"/>
        <v>0</v>
      </c>
    </row>
    <row r="36" spans="1:7" ht="18" x14ac:dyDescent="0.2">
      <c r="A36" s="2"/>
      <c r="B36" s="2"/>
      <c r="C36" s="2"/>
      <c r="D36" s="2" t="str">
        <f t="shared" si="2"/>
        <v/>
      </c>
      <c r="E36" s="2"/>
      <c r="F36" s="2" t="str">
        <f>_xlfn.XLOOKUP(Input!E36,'GPA Scale'!$A$2:$A$14,'GPA Scale'!$B$2:$B$14,"",)</f>
        <v/>
      </c>
      <c r="G36" s="2">
        <f t="shared" si="1"/>
        <v>0</v>
      </c>
    </row>
    <row r="37" spans="1:7" ht="18" x14ac:dyDescent="0.2">
      <c r="A37" s="2"/>
      <c r="B37" s="2"/>
      <c r="C37" s="2"/>
      <c r="D37" s="2" t="str">
        <f t="shared" si="2"/>
        <v/>
      </c>
      <c r="E37" s="2"/>
      <c r="F37" s="2" t="str">
        <f>_xlfn.XLOOKUP(Input!E37,'GPA Scale'!$A$2:$A$14,'GPA Scale'!$B$2:$B$14,"",)</f>
        <v/>
      </c>
      <c r="G37" s="2">
        <f t="shared" si="1"/>
        <v>0</v>
      </c>
    </row>
    <row r="38" spans="1:7" ht="18" x14ac:dyDescent="0.2">
      <c r="A38" s="2"/>
      <c r="B38" s="2"/>
      <c r="C38" s="2"/>
      <c r="D38" s="2" t="str">
        <f t="shared" si="2"/>
        <v/>
      </c>
      <c r="E38" s="2"/>
      <c r="F38" s="2" t="str">
        <f>_xlfn.XLOOKUP(Input!E38,'GPA Scale'!$A$2:$A$14,'GPA Scale'!$B$2:$B$14,"",)</f>
        <v/>
      </c>
      <c r="G38" s="2">
        <f t="shared" si="1"/>
        <v>0</v>
      </c>
    </row>
    <row r="39" spans="1:7" ht="18" x14ac:dyDescent="0.2">
      <c r="A39" s="2"/>
      <c r="B39" s="2"/>
      <c r="C39" s="2"/>
      <c r="D39" s="2" t="str">
        <f t="shared" si="2"/>
        <v/>
      </c>
      <c r="E39" s="2"/>
      <c r="F39" s="2" t="str">
        <f>_xlfn.XLOOKUP(Input!E39,'GPA Scale'!$A$2:$A$14,'GPA Scale'!$B$2:$B$14,"",)</f>
        <v/>
      </c>
      <c r="G39" s="2">
        <f t="shared" si="1"/>
        <v>0</v>
      </c>
    </row>
    <row r="40" spans="1:7" ht="18" x14ac:dyDescent="0.2">
      <c r="A40" s="2"/>
      <c r="B40" s="2"/>
      <c r="C40" s="2"/>
      <c r="D40" s="2" t="str">
        <f t="shared" si="2"/>
        <v/>
      </c>
      <c r="E40" s="2"/>
      <c r="F40" s="2" t="str">
        <f>_xlfn.XLOOKUP(Input!E40,'GPA Scale'!$A$2:$A$14,'GPA Scale'!$B$2:$B$14,"",)</f>
        <v/>
      </c>
      <c r="G40" s="2">
        <f t="shared" si="1"/>
        <v>0</v>
      </c>
    </row>
    <row r="41" spans="1:7" ht="18" x14ac:dyDescent="0.2">
      <c r="A41" s="2"/>
      <c r="B41" s="2"/>
      <c r="C41" s="2"/>
      <c r="D41" s="2" t="str">
        <f t="shared" si="2"/>
        <v/>
      </c>
      <c r="E41" s="2"/>
      <c r="F41" s="2" t="str">
        <f>_xlfn.XLOOKUP(Input!E41,'GPA Scale'!$A$2:$A$14,'GPA Scale'!$B$2:$B$14,"",)</f>
        <v/>
      </c>
      <c r="G41" s="2">
        <f t="shared" si="1"/>
        <v>0</v>
      </c>
    </row>
    <row r="42" spans="1:7" ht="18" x14ac:dyDescent="0.2">
      <c r="A42" s="2"/>
      <c r="B42" s="2"/>
      <c r="C42" s="2"/>
      <c r="D42" s="2" t="str">
        <f t="shared" si="2"/>
        <v/>
      </c>
      <c r="E42" s="2"/>
      <c r="F42" s="2" t="str">
        <f>_xlfn.XLOOKUP(Input!E42,'GPA Scale'!$A$2:$A$14,'GPA Scale'!$B$2:$B$14,"",)</f>
        <v/>
      </c>
      <c r="G42" s="2">
        <f t="shared" si="1"/>
        <v>0</v>
      </c>
    </row>
    <row r="43" spans="1:7" ht="18" x14ac:dyDescent="0.2">
      <c r="A43" s="2"/>
      <c r="B43" s="2"/>
      <c r="C43" s="2"/>
      <c r="D43" s="2" t="str">
        <f t="shared" si="2"/>
        <v/>
      </c>
      <c r="E43" s="2"/>
      <c r="F43" s="2" t="str">
        <f>_xlfn.XLOOKUP(Input!E43,'GPA Scale'!$A$2:$A$14,'GPA Scale'!$B$2:$B$14,"",)</f>
        <v/>
      </c>
      <c r="G43" s="2">
        <f t="shared" si="1"/>
        <v>0</v>
      </c>
    </row>
    <row r="44" spans="1:7" ht="18" x14ac:dyDescent="0.2">
      <c r="A44" s="2"/>
      <c r="B44" s="2"/>
      <c r="C44" s="2"/>
      <c r="D44" s="2" t="str">
        <f t="shared" si="2"/>
        <v/>
      </c>
      <c r="E44" s="2"/>
      <c r="F44" s="2" t="str">
        <f>_xlfn.XLOOKUP(Input!E44,'GPA Scale'!$A$2:$A$14,'GPA Scale'!$B$2:$B$14,"",)</f>
        <v/>
      </c>
      <c r="G44" s="2">
        <f t="shared" si="1"/>
        <v>0</v>
      </c>
    </row>
    <row r="45" spans="1:7" ht="18" x14ac:dyDescent="0.2">
      <c r="A45" s="2"/>
      <c r="B45" s="2"/>
      <c r="C45" s="2"/>
      <c r="D45" s="2" t="str">
        <f t="shared" si="2"/>
        <v/>
      </c>
      <c r="E45" s="2"/>
      <c r="F45" s="2" t="str">
        <f>_xlfn.XLOOKUP(Input!E45,'GPA Scale'!$A$2:$A$14,'GPA Scale'!$B$2:$B$14,"",)</f>
        <v/>
      </c>
      <c r="G45" s="2">
        <f t="shared" si="1"/>
        <v>0</v>
      </c>
    </row>
    <row r="46" spans="1:7" ht="18" x14ac:dyDescent="0.2">
      <c r="A46" s="2"/>
      <c r="B46" s="2"/>
      <c r="C46" s="2"/>
      <c r="D46" s="2" t="str">
        <f t="shared" si="2"/>
        <v/>
      </c>
      <c r="E46" s="2"/>
      <c r="F46" s="2" t="str">
        <f>_xlfn.XLOOKUP(Input!E46,'GPA Scale'!$A$2:$A$14,'GPA Scale'!$B$2:$B$14,"",)</f>
        <v/>
      </c>
      <c r="G46" s="2">
        <f t="shared" si="1"/>
        <v>0</v>
      </c>
    </row>
    <row r="47" spans="1:7" ht="18" x14ac:dyDescent="0.2">
      <c r="A47" s="2"/>
      <c r="B47" s="2"/>
      <c r="C47" s="2"/>
      <c r="D47" s="2" t="str">
        <f t="shared" si="2"/>
        <v/>
      </c>
      <c r="E47" s="2"/>
      <c r="F47" s="2" t="str">
        <f>_xlfn.XLOOKUP(Input!E47,'GPA Scale'!$A$2:$A$14,'GPA Scale'!$B$2:$B$14,"",)</f>
        <v/>
      </c>
      <c r="G47" s="2">
        <f t="shared" si="1"/>
        <v>0</v>
      </c>
    </row>
    <row r="48" spans="1:7" ht="18" x14ac:dyDescent="0.2">
      <c r="A48" s="2"/>
      <c r="B48" s="2"/>
      <c r="C48" s="2"/>
      <c r="D48" s="2" t="str">
        <f t="shared" si="2"/>
        <v/>
      </c>
      <c r="E48" s="2"/>
      <c r="F48" s="2" t="str">
        <f>_xlfn.XLOOKUP(Input!E48,'GPA Scale'!$A$2:$A$14,'GPA Scale'!$B$2:$B$14,"",)</f>
        <v/>
      </c>
      <c r="G48" s="2">
        <f t="shared" si="1"/>
        <v>0</v>
      </c>
    </row>
    <row r="49" spans="1:7" ht="18" x14ac:dyDescent="0.2">
      <c r="A49" s="2"/>
      <c r="B49" s="2"/>
      <c r="C49" s="2"/>
      <c r="D49" s="2" t="str">
        <f t="shared" si="2"/>
        <v/>
      </c>
      <c r="E49" s="2"/>
      <c r="F49" s="2" t="str">
        <f>_xlfn.XLOOKUP(Input!E49,'GPA Scale'!$A$2:$A$14,'GPA Scale'!$B$2:$B$14,"",)</f>
        <v/>
      </c>
      <c r="G49" s="2">
        <f t="shared" si="1"/>
        <v>0</v>
      </c>
    </row>
    <row r="50" spans="1:7" ht="18" x14ac:dyDescent="0.2">
      <c r="A50" s="2"/>
      <c r="B50" s="2"/>
      <c r="C50" s="2"/>
      <c r="D50" s="2" t="str">
        <f t="shared" si="2"/>
        <v/>
      </c>
      <c r="E50" s="2"/>
      <c r="F50" s="2" t="str">
        <f>_xlfn.XLOOKUP(Input!E50,'GPA Scale'!$A$2:$A$14,'GPA Scale'!$B$2:$B$14,"",)</f>
        <v/>
      </c>
      <c r="G50" s="2">
        <f t="shared" si="1"/>
        <v>0</v>
      </c>
    </row>
    <row r="51" spans="1:7" ht="18" x14ac:dyDescent="0.2">
      <c r="A51" s="2"/>
      <c r="B51" s="2"/>
      <c r="C51" s="2"/>
      <c r="D51" s="2" t="str">
        <f t="shared" si="2"/>
        <v/>
      </c>
      <c r="E51" s="2"/>
      <c r="F51" s="2" t="str">
        <f>_xlfn.XLOOKUP(Input!E51,'GPA Scale'!$A$2:$A$14,'GPA Scale'!$B$2:$B$14,"",)</f>
        <v/>
      </c>
      <c r="G51" s="2">
        <f t="shared" si="1"/>
        <v>0</v>
      </c>
    </row>
    <row r="52" spans="1:7" ht="18" x14ac:dyDescent="0.2">
      <c r="A52" s="2"/>
      <c r="B52" s="2"/>
      <c r="C52" s="2"/>
      <c r="D52" s="2" t="str">
        <f t="shared" si="2"/>
        <v/>
      </c>
      <c r="E52" s="2"/>
      <c r="F52" s="2" t="str">
        <f>_xlfn.XLOOKUP(Input!E52,'GPA Scale'!$A$2:$A$14,'GPA Scale'!$B$2:$B$14,"",)</f>
        <v/>
      </c>
      <c r="G52" s="2">
        <f t="shared" si="1"/>
        <v>0</v>
      </c>
    </row>
    <row r="53" spans="1:7" ht="18" x14ac:dyDescent="0.2">
      <c r="A53" s="2"/>
      <c r="B53" s="2"/>
      <c r="C53" s="2"/>
      <c r="D53" s="2" t="str">
        <f t="shared" si="2"/>
        <v/>
      </c>
      <c r="E53" s="2"/>
      <c r="F53" s="2" t="str">
        <f>_xlfn.XLOOKUP(Input!E53,'GPA Scale'!$A$2:$A$14,'GPA Scale'!$B$2:$B$14,"",)</f>
        <v/>
      </c>
      <c r="G53" s="2">
        <f t="shared" si="1"/>
        <v>0</v>
      </c>
    </row>
    <row r="54" spans="1:7" ht="18" x14ac:dyDescent="0.2">
      <c r="A54" s="2"/>
      <c r="B54" s="2"/>
      <c r="C54" s="2"/>
      <c r="D54" s="2" t="str">
        <f t="shared" si="2"/>
        <v/>
      </c>
      <c r="E54" s="2"/>
      <c r="F54" s="2" t="str">
        <f>_xlfn.XLOOKUP(Input!E54,'GPA Scale'!$A$2:$A$14,'GPA Scale'!$B$2:$B$14,"",)</f>
        <v/>
      </c>
      <c r="G54" s="2">
        <f t="shared" si="1"/>
        <v>0</v>
      </c>
    </row>
    <row r="55" spans="1:7" ht="18" x14ac:dyDescent="0.2">
      <c r="A55" s="2"/>
      <c r="B55" s="2"/>
      <c r="C55" s="2"/>
      <c r="D55" s="2" t="str">
        <f t="shared" si="2"/>
        <v/>
      </c>
      <c r="E55" s="2"/>
      <c r="F55" s="2" t="str">
        <f>_xlfn.XLOOKUP(Input!E55,'GPA Scale'!$A$2:$A$14,'GPA Scale'!$B$2:$B$14,"",)</f>
        <v/>
      </c>
      <c r="G55" s="2">
        <f t="shared" si="1"/>
        <v>0</v>
      </c>
    </row>
    <row r="56" spans="1:7" ht="18" x14ac:dyDescent="0.2">
      <c r="A56" s="2"/>
      <c r="B56" s="2"/>
      <c r="C56" s="2"/>
      <c r="D56" s="2" t="str">
        <f t="shared" si="2"/>
        <v/>
      </c>
      <c r="E56" s="2"/>
      <c r="F56" s="2" t="str">
        <f>_xlfn.XLOOKUP(Input!E56,'GPA Scale'!$A$2:$A$14,'GPA Scale'!$B$2:$B$14,"",)</f>
        <v/>
      </c>
      <c r="G56" s="2">
        <f t="shared" si="1"/>
        <v>0</v>
      </c>
    </row>
    <row r="57" spans="1:7" ht="18" x14ac:dyDescent="0.2">
      <c r="A57" s="2"/>
      <c r="B57" s="2"/>
      <c r="C57" s="2"/>
      <c r="D57" s="2" t="str">
        <f t="shared" si="2"/>
        <v/>
      </c>
      <c r="E57" s="2"/>
      <c r="F57" s="2" t="str">
        <f>_xlfn.XLOOKUP(Input!E57,'GPA Scale'!$A$2:$A$14,'GPA Scale'!$B$2:$B$14,"",)</f>
        <v/>
      </c>
      <c r="G57" s="2">
        <f t="shared" si="1"/>
        <v>0</v>
      </c>
    </row>
    <row r="58" spans="1:7" ht="18" x14ac:dyDescent="0.2">
      <c r="A58" s="2"/>
      <c r="B58" s="2"/>
      <c r="C58" s="2"/>
      <c r="D58" s="2" t="str">
        <f t="shared" si="2"/>
        <v/>
      </c>
      <c r="E58" s="2"/>
      <c r="F58" s="2" t="str">
        <f>_xlfn.XLOOKUP(Input!E58,'GPA Scale'!$A$2:$A$14,'GPA Scale'!$B$2:$B$14,"",)</f>
        <v/>
      </c>
      <c r="G58" s="2">
        <f t="shared" si="1"/>
        <v>0</v>
      </c>
    </row>
    <row r="59" spans="1:7" ht="18" x14ac:dyDescent="0.2">
      <c r="A59" s="2"/>
      <c r="B59" s="2"/>
      <c r="C59" s="2"/>
      <c r="D59" s="2" t="str">
        <f t="shared" si="2"/>
        <v/>
      </c>
      <c r="E59" s="2"/>
      <c r="F59" s="2" t="str">
        <f>_xlfn.XLOOKUP(Input!E59,'GPA Scale'!$A$2:$A$14,'GPA Scale'!$B$2:$B$14,"",)</f>
        <v/>
      </c>
      <c r="G59" s="2">
        <f t="shared" si="1"/>
        <v>0</v>
      </c>
    </row>
    <row r="60" spans="1:7" ht="18" x14ac:dyDescent="0.2">
      <c r="A60" s="2"/>
      <c r="B60" s="2"/>
      <c r="C60" s="2"/>
      <c r="D60" s="2" t="str">
        <f t="shared" si="2"/>
        <v/>
      </c>
      <c r="E60" s="2"/>
      <c r="F60" s="2" t="str">
        <f>_xlfn.XLOOKUP(Input!E60,'GPA Scale'!$A$2:$A$14,'GPA Scale'!$B$2:$B$14,"",)</f>
        <v/>
      </c>
      <c r="G60" s="2">
        <f t="shared" si="1"/>
        <v>0</v>
      </c>
    </row>
    <row r="61" spans="1:7" ht="18" x14ac:dyDescent="0.2">
      <c r="A61" s="2"/>
      <c r="B61" s="2"/>
      <c r="C61" s="2"/>
      <c r="D61" s="2" t="str">
        <f t="shared" si="2"/>
        <v/>
      </c>
      <c r="E61" s="2"/>
      <c r="F61" s="2" t="str">
        <f>_xlfn.XLOOKUP(Input!E61,'GPA Scale'!$A$2:$A$14,'GPA Scale'!$B$2:$B$14,"",)</f>
        <v/>
      </c>
      <c r="G61" s="2">
        <f t="shared" si="1"/>
        <v>0</v>
      </c>
    </row>
    <row r="62" spans="1:7" ht="18" x14ac:dyDescent="0.2">
      <c r="A62" s="2"/>
      <c r="B62" s="2"/>
      <c r="C62" s="2"/>
      <c r="D62" s="2" t="str">
        <f t="shared" si="2"/>
        <v/>
      </c>
      <c r="E62" s="2"/>
      <c r="F62" s="2" t="str">
        <f>_xlfn.XLOOKUP(Input!E62,'GPA Scale'!$A$2:$A$14,'GPA Scale'!$B$2:$B$14,"",)</f>
        <v/>
      </c>
      <c r="G62" s="2">
        <f t="shared" si="1"/>
        <v>0</v>
      </c>
    </row>
    <row r="63" spans="1:7" ht="18" x14ac:dyDescent="0.2">
      <c r="A63" s="2"/>
      <c r="B63" s="2"/>
      <c r="C63" s="2"/>
      <c r="D63" s="2" t="str">
        <f t="shared" si="2"/>
        <v/>
      </c>
      <c r="E63" s="2"/>
      <c r="F63" s="2" t="str">
        <f>_xlfn.XLOOKUP(Input!E63,'GPA Scale'!$A$2:$A$14,'GPA Scale'!$B$2:$B$14,"",)</f>
        <v/>
      </c>
      <c r="G63" s="2">
        <f t="shared" si="1"/>
        <v>0</v>
      </c>
    </row>
    <row r="64" spans="1:7" ht="18" x14ac:dyDescent="0.2">
      <c r="A64" s="2"/>
      <c r="B64" s="2"/>
      <c r="C64" s="2"/>
      <c r="D64" s="2" t="str">
        <f t="shared" si="2"/>
        <v/>
      </c>
      <c r="E64" s="2"/>
      <c r="F64" s="2" t="str">
        <f>_xlfn.XLOOKUP(Input!E64,'GPA Scale'!$A$2:$A$14,'GPA Scale'!$B$2:$B$14,"",)</f>
        <v/>
      </c>
      <c r="G64" s="2">
        <f t="shared" si="1"/>
        <v>0</v>
      </c>
    </row>
    <row r="65" spans="1:7" ht="18" x14ac:dyDescent="0.2">
      <c r="A65" s="2"/>
      <c r="B65" s="2"/>
      <c r="C65" s="2"/>
      <c r="D65" s="2" t="str">
        <f t="shared" si="2"/>
        <v/>
      </c>
      <c r="E65" s="2"/>
      <c r="F65" s="2" t="str">
        <f>_xlfn.XLOOKUP(Input!E65,'GPA Scale'!$A$2:$A$14,'GPA Scale'!$B$2:$B$14,"",)</f>
        <v/>
      </c>
      <c r="G65" s="2">
        <f t="shared" si="1"/>
        <v>0</v>
      </c>
    </row>
    <row r="66" spans="1:7" ht="18" x14ac:dyDescent="0.2">
      <c r="A66" s="2"/>
      <c r="B66" s="2"/>
      <c r="C66" s="2"/>
      <c r="D66" s="2" t="str">
        <f t="shared" ref="D66:D67" si="3">IF(C66=0,"",IF(C66="S",B66*1,B66*0.67))</f>
        <v/>
      </c>
      <c r="E66" s="2"/>
      <c r="F66" s="2" t="str">
        <f>_xlfn.XLOOKUP(Input!E66,'GPA Scale'!$A$2:$A$14,'GPA Scale'!$B$2:$B$14,"",)</f>
        <v/>
      </c>
      <c r="G66" s="2">
        <f t="shared" si="1"/>
        <v>0</v>
      </c>
    </row>
    <row r="67" spans="1:7" ht="18" x14ac:dyDescent="0.2">
      <c r="A67" s="2"/>
      <c r="B67" s="2"/>
      <c r="C67" s="2"/>
      <c r="D67" s="2" t="str">
        <f t="shared" si="3"/>
        <v/>
      </c>
      <c r="E67" s="2"/>
      <c r="F67" s="2" t="str">
        <f>_xlfn.XLOOKUP(Input!E67,'GPA Scale'!$A$2:$A$14,'GPA Scale'!$B$2:$B$14,"",)</f>
        <v/>
      </c>
      <c r="G67" s="2">
        <f t="shared" ref="G67" si="4">IFERROR(D67*F67,0)</f>
        <v>0</v>
      </c>
    </row>
    <row r="68" spans="1:7" ht="18" x14ac:dyDescent="0.2">
      <c r="A68" s="2"/>
      <c r="B68" s="2"/>
      <c r="C68" s="2"/>
      <c r="D68" s="2" t="str">
        <f>IF(C68=0,"",IF(C68="Semester",B68*1,B68*0.67))</f>
        <v/>
      </c>
      <c r="E68" s="2"/>
      <c r="F68" s="2" t="str">
        <f>_xlfn.XLOOKUP(Input!E68,'GPA Scale'!$A$2:$A$14,'GPA Scale'!$B$2:$B$14,"",)</f>
        <v/>
      </c>
      <c r="G68" s="2"/>
    </row>
    <row r="69" spans="1:7" ht="18" x14ac:dyDescent="0.2">
      <c r="A69" s="2"/>
      <c r="B69" s="2"/>
      <c r="C69" s="2"/>
      <c r="D69" s="2" t="str">
        <f t="shared" ref="D69:D94" si="5">IF(C69=0,"",IF(C69="Semester",B69*1,B69*0.67))</f>
        <v/>
      </c>
      <c r="E69" s="2"/>
      <c r="F69" s="2" t="str">
        <f>_xlfn.XLOOKUP(Input!E69,'GPA Scale'!$A$2:$A$14,'GPA Scale'!$B$2:$B$14,"",)</f>
        <v/>
      </c>
      <c r="G69" s="2"/>
    </row>
    <row r="70" spans="1:7" ht="18" x14ac:dyDescent="0.2">
      <c r="A70" s="2"/>
      <c r="B70" s="2"/>
      <c r="C70" s="2"/>
      <c r="D70" s="2" t="str">
        <f t="shared" si="5"/>
        <v/>
      </c>
      <c r="E70" s="2"/>
      <c r="F70" s="2" t="str">
        <f>_xlfn.XLOOKUP(Input!E70,'GPA Scale'!$A$2:$A$14,'GPA Scale'!$B$2:$B$14,"",)</f>
        <v/>
      </c>
      <c r="G70" s="2"/>
    </row>
    <row r="71" spans="1:7" ht="18" x14ac:dyDescent="0.2">
      <c r="A71" s="2"/>
      <c r="B71" s="2"/>
      <c r="C71" s="2"/>
      <c r="D71" s="2" t="str">
        <f t="shared" si="5"/>
        <v/>
      </c>
      <c r="E71" s="2"/>
      <c r="F71" s="2" t="str">
        <f>_xlfn.XLOOKUP(Input!E71,'GPA Scale'!$A$2:$A$14,'GPA Scale'!$B$2:$B$14,"",)</f>
        <v/>
      </c>
      <c r="G71" s="2"/>
    </row>
    <row r="72" spans="1:7" ht="18" x14ac:dyDescent="0.2">
      <c r="A72" s="2"/>
      <c r="B72" s="2"/>
      <c r="C72" s="2"/>
      <c r="D72" s="2" t="str">
        <f t="shared" si="5"/>
        <v/>
      </c>
      <c r="E72" s="2"/>
      <c r="F72" s="2" t="str">
        <f>_xlfn.XLOOKUP(Input!E72,'GPA Scale'!$A$2:$A$14,'GPA Scale'!$B$2:$B$14,"",)</f>
        <v/>
      </c>
      <c r="G72" s="2"/>
    </row>
    <row r="73" spans="1:7" ht="18" x14ac:dyDescent="0.2">
      <c r="A73" s="2"/>
      <c r="B73" s="2"/>
      <c r="C73" s="2"/>
      <c r="D73" s="2" t="str">
        <f t="shared" si="5"/>
        <v/>
      </c>
      <c r="E73" s="2"/>
      <c r="F73" s="2" t="str">
        <f>_xlfn.XLOOKUP(Input!E73,'GPA Scale'!$A$2:$A$14,'GPA Scale'!$B$2:$B$14,"",)</f>
        <v/>
      </c>
      <c r="G73" s="2"/>
    </row>
    <row r="74" spans="1:7" ht="18" x14ac:dyDescent="0.2">
      <c r="D74" s="2" t="str">
        <f t="shared" si="5"/>
        <v/>
      </c>
      <c r="F74" s="2" t="str">
        <f>_xlfn.XLOOKUP(Input!E74,'GPA Scale'!$A$2:$A$14,'GPA Scale'!$B$2:$B$14,"",)</f>
        <v/>
      </c>
      <c r="G74" s="2"/>
    </row>
    <row r="75" spans="1:7" ht="18" x14ac:dyDescent="0.2">
      <c r="D75" s="2" t="str">
        <f t="shared" si="5"/>
        <v/>
      </c>
      <c r="F75" s="2" t="str">
        <f>_xlfn.XLOOKUP(Input!E75,'GPA Scale'!$A$2:$A$14,'GPA Scale'!$B$2:$B$14,"",)</f>
        <v/>
      </c>
      <c r="G75" s="2"/>
    </row>
    <row r="76" spans="1:7" ht="18" x14ac:dyDescent="0.2">
      <c r="D76" s="2" t="str">
        <f t="shared" si="5"/>
        <v/>
      </c>
      <c r="F76" s="2" t="str">
        <f>_xlfn.XLOOKUP(Input!E76,'GPA Scale'!$A$2:$A$14,'GPA Scale'!$B$2:$B$14,"",)</f>
        <v/>
      </c>
      <c r="G76" s="2"/>
    </row>
    <row r="77" spans="1:7" ht="18" x14ac:dyDescent="0.2">
      <c r="D77" s="2" t="str">
        <f t="shared" si="5"/>
        <v/>
      </c>
      <c r="F77" s="2" t="str">
        <f>_xlfn.XLOOKUP(Input!E77,'GPA Scale'!$A$2:$A$14,'GPA Scale'!$B$2:$B$14,"",)</f>
        <v/>
      </c>
      <c r="G77" s="2"/>
    </row>
    <row r="78" spans="1:7" ht="18" x14ac:dyDescent="0.2">
      <c r="D78" s="2" t="str">
        <f t="shared" si="5"/>
        <v/>
      </c>
      <c r="F78" s="2" t="str">
        <f>_xlfn.XLOOKUP(Input!E78,'GPA Scale'!$A$2:$A$14,'GPA Scale'!$B$2:$B$14,"",)</f>
        <v/>
      </c>
      <c r="G78" s="2"/>
    </row>
    <row r="79" spans="1:7" ht="18" x14ac:dyDescent="0.2">
      <c r="D79" s="2" t="str">
        <f t="shared" si="5"/>
        <v/>
      </c>
      <c r="F79" s="2" t="str">
        <f>_xlfn.XLOOKUP(Input!E79,'GPA Scale'!$A$2:$A$14,'GPA Scale'!$B$2:$B$14,"",)</f>
        <v/>
      </c>
      <c r="G79" s="2"/>
    </row>
    <row r="80" spans="1:7" ht="18" x14ac:dyDescent="0.2">
      <c r="D80" s="2" t="str">
        <f t="shared" si="5"/>
        <v/>
      </c>
      <c r="F80" s="2" t="str">
        <f>_xlfn.XLOOKUP(Input!E80,'GPA Scale'!$A$2:$A$14,'GPA Scale'!$B$2:$B$14,"",)</f>
        <v/>
      </c>
      <c r="G80" s="2"/>
    </row>
    <row r="81" spans="4:7" ht="18" x14ac:dyDescent="0.2">
      <c r="D81" s="2" t="str">
        <f t="shared" si="5"/>
        <v/>
      </c>
      <c r="F81" s="2" t="str">
        <f>_xlfn.XLOOKUP(Input!E81,'GPA Scale'!$A$2:$A$14,'GPA Scale'!$B$2:$B$14,"",)</f>
        <v/>
      </c>
      <c r="G81" s="2"/>
    </row>
    <row r="82" spans="4:7" ht="18" x14ac:dyDescent="0.2">
      <c r="D82" s="2" t="str">
        <f t="shared" si="5"/>
        <v/>
      </c>
      <c r="F82" s="2" t="str">
        <f>_xlfn.XLOOKUP(Input!E82,'GPA Scale'!$A$2:$A$14,'GPA Scale'!$B$2:$B$14,"",)</f>
        <v/>
      </c>
    </row>
    <row r="83" spans="4:7" ht="18" x14ac:dyDescent="0.2">
      <c r="D83" s="2" t="str">
        <f t="shared" si="5"/>
        <v/>
      </c>
      <c r="F83" s="2" t="str">
        <f>_xlfn.XLOOKUP(Input!E83,'GPA Scale'!$A$2:$A$14,'GPA Scale'!$B$2:$B$14,"",)</f>
        <v/>
      </c>
    </row>
    <row r="84" spans="4:7" ht="18" x14ac:dyDescent="0.2">
      <c r="D84" s="2" t="str">
        <f t="shared" si="5"/>
        <v/>
      </c>
      <c r="F84" s="2" t="str">
        <f>_xlfn.XLOOKUP(Input!E84,'GPA Scale'!$A$2:$A$14,'GPA Scale'!$B$2:$B$14,"",)</f>
        <v/>
      </c>
    </row>
    <row r="85" spans="4:7" ht="18" x14ac:dyDescent="0.2">
      <c r="D85" s="2" t="str">
        <f t="shared" si="5"/>
        <v/>
      </c>
      <c r="F85" s="2" t="str">
        <f>_xlfn.XLOOKUP(Input!E85,'GPA Scale'!$A$2:$A$14,'GPA Scale'!$B$2:$B$14,"",)</f>
        <v/>
      </c>
    </row>
    <row r="86" spans="4:7" ht="18" x14ac:dyDescent="0.2">
      <c r="D86" s="2" t="str">
        <f t="shared" si="5"/>
        <v/>
      </c>
      <c r="F86" s="2" t="str">
        <f>_xlfn.XLOOKUP(Input!E86,'GPA Scale'!$A$2:$A$14,'GPA Scale'!$B$2:$B$14,"",)</f>
        <v/>
      </c>
    </row>
    <row r="87" spans="4:7" ht="18" x14ac:dyDescent="0.2">
      <c r="D87" s="2" t="str">
        <f t="shared" si="5"/>
        <v/>
      </c>
      <c r="F87" s="2" t="str">
        <f>_xlfn.XLOOKUP(Input!E87,'GPA Scale'!$A$2:$A$14,'GPA Scale'!$B$2:$B$14,"",)</f>
        <v/>
      </c>
    </row>
    <row r="88" spans="4:7" ht="18" x14ac:dyDescent="0.2">
      <c r="D88" s="2" t="str">
        <f t="shared" si="5"/>
        <v/>
      </c>
    </row>
    <row r="89" spans="4:7" ht="18" x14ac:dyDescent="0.2">
      <c r="D89" s="2" t="str">
        <f t="shared" si="5"/>
        <v/>
      </c>
    </row>
    <row r="90" spans="4:7" ht="18" x14ac:dyDescent="0.2">
      <c r="D90" s="2" t="str">
        <f t="shared" si="5"/>
        <v/>
      </c>
    </row>
    <row r="91" spans="4:7" ht="18" x14ac:dyDescent="0.2">
      <c r="D91" s="2" t="str">
        <f t="shared" si="5"/>
        <v/>
      </c>
    </row>
    <row r="92" spans="4:7" ht="18" x14ac:dyDescent="0.2">
      <c r="D92" s="2" t="str">
        <f t="shared" si="5"/>
        <v/>
      </c>
    </row>
    <row r="93" spans="4:7" ht="18" x14ac:dyDescent="0.2">
      <c r="D93" s="2" t="str">
        <f t="shared" si="5"/>
        <v/>
      </c>
    </row>
    <row r="94" spans="4:7" ht="18" x14ac:dyDescent="0.2">
      <c r="D94" s="2" t="str">
        <f t="shared" si="5"/>
        <v/>
      </c>
    </row>
  </sheetData>
  <conditionalFormatting sqref="G35:G67">
    <cfRule type="cellIs" dxfId="10" priority="2" operator="equal">
      <formula>0</formula>
    </cfRule>
  </conditionalFormatting>
  <conditionalFormatting sqref="G2:G34">
    <cfRule type="cellIs" dxfId="9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7B50-6167-534D-A029-D4B4BBFBF4C1}">
  <sheetPr codeName="Sheet2"/>
  <dimension ref="A1:C5"/>
  <sheetViews>
    <sheetView zoomScale="125" workbookViewId="0">
      <selection activeCell="A3" sqref="A3"/>
    </sheetView>
  </sheetViews>
  <sheetFormatPr baseColWidth="10" defaultRowHeight="16" x14ac:dyDescent="0.2"/>
  <cols>
    <col min="1" max="1" width="13" bestFit="1" customWidth="1"/>
    <col min="2" max="2" width="18.1640625" bestFit="1" customWidth="1"/>
    <col min="3" max="3" width="15.5" bestFit="1" customWidth="1"/>
  </cols>
  <sheetData>
    <row r="1" spans="1:3" x14ac:dyDescent="0.2">
      <c r="A1" s="4" t="s">
        <v>5</v>
      </c>
      <c r="B1" t="s">
        <v>26</v>
      </c>
    </row>
    <row r="3" spans="1:3" x14ac:dyDescent="0.2">
      <c r="A3" s="4" t="s">
        <v>21</v>
      </c>
      <c r="B3" t="s">
        <v>22</v>
      </c>
      <c r="C3" t="s">
        <v>24</v>
      </c>
    </row>
    <row r="4" spans="1:3" x14ac:dyDescent="0.2">
      <c r="A4" s="5" t="s">
        <v>25</v>
      </c>
      <c r="B4" s="3">
        <v>0</v>
      </c>
      <c r="C4" s="3">
        <v>0</v>
      </c>
    </row>
    <row r="5" spans="1:3" x14ac:dyDescent="0.2">
      <c r="A5" s="5" t="s">
        <v>20</v>
      </c>
      <c r="B5" s="3">
        <v>0</v>
      </c>
      <c r="C5" s="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5D15-536D-9844-AF45-5FC599D6F0EC}">
  <sheetPr codeName="Sheet3"/>
  <dimension ref="A4:E10"/>
  <sheetViews>
    <sheetView zoomScale="106" workbookViewId="0">
      <selection activeCell="B7" sqref="B7"/>
    </sheetView>
  </sheetViews>
  <sheetFormatPr baseColWidth="10" defaultRowHeight="16" x14ac:dyDescent="0.2"/>
  <sheetData>
    <row r="4" spans="1:5" x14ac:dyDescent="0.2">
      <c r="A4" s="6"/>
      <c r="B4" s="6"/>
      <c r="C4" s="6"/>
      <c r="D4" s="6"/>
      <c r="E4" s="6"/>
    </row>
    <row r="5" spans="1:5" x14ac:dyDescent="0.2">
      <c r="A5" s="6"/>
      <c r="B5" s="6"/>
      <c r="C5" s="6"/>
      <c r="D5" s="6"/>
      <c r="E5" s="6"/>
    </row>
    <row r="6" spans="1:5" x14ac:dyDescent="0.2">
      <c r="A6" s="6"/>
      <c r="B6" s="6"/>
      <c r="C6" s="6"/>
      <c r="D6" s="6"/>
      <c r="E6" s="6"/>
    </row>
    <row r="7" spans="1:5" ht="18" x14ac:dyDescent="0.2">
      <c r="A7" s="7" t="s">
        <v>23</v>
      </c>
      <c r="B7" s="8" t="str">
        <f>IFERROR(GETPIVOTDATA("Sum of Grade Points",'Pivot w Totals'!$A$3)/GETPIVOTDATA("Sum of CAS Units",'Pivot w Totals'!$A$3),"Data Error")</f>
        <v>Data Error</v>
      </c>
      <c r="C7" s="6"/>
      <c r="D7" s="6"/>
      <c r="E7" s="6"/>
    </row>
    <row r="8" spans="1:5" x14ac:dyDescent="0.2">
      <c r="A8" s="6"/>
      <c r="B8" s="6"/>
      <c r="C8" s="6"/>
      <c r="D8" s="6"/>
      <c r="E8" s="6"/>
    </row>
    <row r="9" spans="1:5" x14ac:dyDescent="0.2">
      <c r="A9" s="6"/>
      <c r="B9" s="6"/>
      <c r="C9" s="6"/>
      <c r="D9" s="6"/>
      <c r="E9" s="6"/>
    </row>
    <row r="10" spans="1:5" x14ac:dyDescent="0.2">
      <c r="A10" s="6"/>
      <c r="B10" s="6"/>
      <c r="C10" s="6"/>
      <c r="D10" s="6"/>
      <c r="E1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1D54-1D94-1045-8C73-2B8CC31E4FFB}">
  <sheetPr codeName="Sheet4"/>
  <dimension ref="A1:B18"/>
  <sheetViews>
    <sheetView workbookViewId="0">
      <selection activeCell="B11" sqref="B11"/>
    </sheetView>
  </sheetViews>
  <sheetFormatPr baseColWidth="10" defaultRowHeight="16" x14ac:dyDescent="0.2"/>
  <cols>
    <col min="2" max="2" width="16" bestFit="1" customWidth="1"/>
  </cols>
  <sheetData>
    <row r="1" spans="1:2" ht="18" x14ac:dyDescent="0.2">
      <c r="A1" s="1" t="s">
        <v>5</v>
      </c>
      <c r="B1" s="1" t="s">
        <v>4</v>
      </c>
    </row>
    <row r="2" spans="1:2" ht="18" x14ac:dyDescent="0.2">
      <c r="A2" s="2" t="s">
        <v>6</v>
      </c>
      <c r="B2" s="2">
        <v>4.33</v>
      </c>
    </row>
    <row r="3" spans="1:2" ht="18" x14ac:dyDescent="0.2">
      <c r="A3" s="2" t="s">
        <v>7</v>
      </c>
      <c r="B3" s="2">
        <v>4</v>
      </c>
    </row>
    <row r="4" spans="1:2" ht="18" x14ac:dyDescent="0.2">
      <c r="A4" s="2" t="s">
        <v>8</v>
      </c>
      <c r="B4" s="2">
        <v>3.67</v>
      </c>
    </row>
    <row r="5" spans="1:2" ht="18" x14ac:dyDescent="0.2">
      <c r="A5" s="2" t="s">
        <v>9</v>
      </c>
      <c r="B5" s="2">
        <v>3.33</v>
      </c>
    </row>
    <row r="6" spans="1:2" ht="18" x14ac:dyDescent="0.2">
      <c r="A6" s="2" t="s">
        <v>10</v>
      </c>
      <c r="B6" s="2">
        <v>3</v>
      </c>
    </row>
    <row r="7" spans="1:2" ht="18" x14ac:dyDescent="0.2">
      <c r="A7" s="2" t="s">
        <v>11</v>
      </c>
      <c r="B7" s="2">
        <v>2.67</v>
      </c>
    </row>
    <row r="8" spans="1:2" ht="18" x14ac:dyDescent="0.2">
      <c r="A8" s="2" t="s">
        <v>12</v>
      </c>
      <c r="B8" s="2">
        <v>2.33</v>
      </c>
    </row>
    <row r="9" spans="1:2" ht="18" x14ac:dyDescent="0.2">
      <c r="A9" s="2" t="s">
        <v>13</v>
      </c>
      <c r="B9" s="2">
        <v>2</v>
      </c>
    </row>
    <row r="10" spans="1:2" ht="18" x14ac:dyDescent="0.2">
      <c r="A10" s="2" t="s">
        <v>14</v>
      </c>
      <c r="B10" s="2">
        <v>1.67</v>
      </c>
    </row>
    <row r="11" spans="1:2" ht="18" x14ac:dyDescent="0.2">
      <c r="A11" s="2" t="s">
        <v>16</v>
      </c>
      <c r="B11" s="2">
        <v>1.33</v>
      </c>
    </row>
    <row r="12" spans="1:2" ht="18" x14ac:dyDescent="0.2">
      <c r="A12" s="2" t="s">
        <v>17</v>
      </c>
      <c r="B12" s="2">
        <v>1</v>
      </c>
    </row>
    <row r="13" spans="1:2" ht="18" x14ac:dyDescent="0.2">
      <c r="A13" s="2" t="s">
        <v>18</v>
      </c>
      <c r="B13" s="2">
        <v>1</v>
      </c>
    </row>
    <row r="14" spans="1:2" ht="18" x14ac:dyDescent="0.2">
      <c r="A14" s="2" t="s">
        <v>15</v>
      </c>
      <c r="B14" s="2">
        <v>0</v>
      </c>
    </row>
    <row r="15" spans="1:2" ht="18" x14ac:dyDescent="0.2">
      <c r="A15" s="2"/>
      <c r="B15" s="2"/>
    </row>
    <row r="16" spans="1:2" ht="18" x14ac:dyDescent="0.2">
      <c r="A16" s="2"/>
      <c r="B16" s="2"/>
    </row>
    <row r="17" spans="1:2" ht="18" x14ac:dyDescent="0.2">
      <c r="A17" s="2"/>
      <c r="B17" s="2"/>
    </row>
    <row r="18" spans="1:2" ht="18" x14ac:dyDescent="0.2">
      <c r="A18" s="1"/>
      <c r="B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 BEFORE USE</vt:lpstr>
      <vt:lpstr>Input</vt:lpstr>
      <vt:lpstr>Pivot w Totals</vt:lpstr>
      <vt:lpstr>Final GPA</vt:lpstr>
      <vt:lpstr>GPA Scale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 GPA Calculator</dc:title>
  <dc:subject/>
  <dc:creator>Mustafa Ahmedani</dc:creator>
  <cp:keywords/>
  <dc:description/>
  <cp:lastModifiedBy>Mustafa Ahmedani</cp:lastModifiedBy>
  <dcterms:created xsi:type="dcterms:W3CDTF">2021-12-21T22:14:22Z</dcterms:created>
  <dcterms:modified xsi:type="dcterms:W3CDTF">2021-12-24T01:51:22Z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Mustafa Ahmedani</vt:lpwstr>
  </property>
</Properties>
</file>